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ersons/person.xml" ContentType="application/vnd.ms-excel.person+xml"/>
  <Override PartName="/xl/charts/colors3.xml" ContentType="application/vnd.ms-office.chartcolorstyle+xml"/>
  <Override PartName="/xl/theme/theme1.xml" ContentType="application/vnd.openxmlformats-officedocument.theme+xml"/>
  <Override PartName="/xl/charts/style3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olors1.xml" ContentType="application/vnd.ms-office.chartcolorstyle+xml"/>
  <Override PartName="/xl/workbook.xml" ContentType="application/vnd.openxmlformats-officedocument.spreadsheetml.sheet.main+xml"/>
  <Override PartName="/xl/charts/style2.xml" ContentType="application/vnd.ms-office.chartstyle+xml"/>
  <Override PartName="/docProps/core.xml" ContentType="application/vnd.openxmlformats-package.core-properties+xml"/>
  <Override PartName="/xl/charts/chart2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emplate" sheetId="1" state="visible" r:id="rId3"/>
  </sheets>
  <definedNames>
    <definedName name="_xlnm.Print_Area" localSheetId="0">Template!$B$2:$J$74</definedName>
  </definedName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tc={E062B45F-D588-1174-4A0F-B6A26D815FAE}</author>
    <author>tc={DBC086B4-D742-030B-A223-33168F9DB1B4}</author>
    <author>tc={D45D1249-6E66-47FE-6F1E-209DE777734F}</author>
    <author>tc={58099CCE-4008-3B91-44F4-75D00E643724}</author>
    <author>tc={48CB5418-FAFB-F904-92FB-56A2810782CF}</author>
    <author>tc={4DE694F6-C0D1-0F3D-F1CA-876617960F64}</author>
    <author>tc={BF8E68F1-A793-B9F9-3779-336193FD59DA}</author>
    <author>tc={B3AB4121-FCE6-235F-FFE4-DB562AF57F83}</author>
    <author>tc={05BA59FB-7E04-0684-A53A-FFC7B4337C5F}</author>
  </authors>
  <commentList>
    <comment ref="F11" authorId="0" xr:uid="{E062B45F-D588-1174-4A0F-B6A26D815FAE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RANK over the Sales column. Values 1, 2 and 3 are highlighted by a less-than-or-equal-to-3 rule, not by hand.
</t>
        </r>
      </text>
    </comment>
    <comment ref="H23" authorId="1" xr:uid="{DBC086B4-D742-030B-A223-33168F9DB1B4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Try this one first: select B6:I12, open AI Assistant and paste this line.
</t>
        </r>
      </text>
    </comment>
    <comment ref="I30" authorId="2" xr:uid="{D45D1249-6E66-47FE-6F1E-209DE777734F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MAX over the Sales column. Top Performer below uses INDEX/MATCH to show the record behind that maximum.
</t>
        </r>
      </text>
    </comment>
    <comment ref="I37" authorId="3" xr:uid="{58099CCE-4008-3B91-44F4-75D00E643724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SUMIF over the table above. Edit any sales value and this summary and all three charts update together.
</t>
        </r>
      </text>
    </comment>
    <comment ref="D7" authorId="4" xr:uid="{48CB5418-FAFB-F904-92FB-56A2810782CF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Every figure in this column carries a data bar. Type a bigger number and watch the data bar and all three charts redraw.
</t>
        </r>
        <r>
          <rPr>
            <b/>
            <sz val="9"/>
            <rFont val="Tahoma"/>
          </rPr>
          <t xml:space="preserve">John Smith (Guest):</t>
        </r>
        <r>
          <rPr>
            <sz val="9"/>
            <rFont val="Tahoma"/>
          </rPr>
          <t xml:space="preserve">
Tried 90000 — the bar clips at the column ceiling, that is the rule's max, not a bug.
</t>
        </r>
      </text>
    </comment>
    <comment ref="I7" authorId="5" xr:uid="{4DE694F6-C0D1-0F3D-F1CA-876617960F64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Select the row, tap the AI icon and paste one of the prompts below.
</t>
        </r>
      </text>
    </comment>
    <comment ref="G8" authorId="6" xr:uid="{BF8E68F1-A793-B9F9-3779-336193FD59DA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A helper column: AVERAGEIF by department. Handy to keep next to the data when you ask the AI about it.
</t>
        </r>
      </text>
    </comment>
    <comment ref="H8" authorId="7" xr:uid="{B3AB4121-FCE6-235F-FFE4-DB562AF57F83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A text rule, not a colour someone painted. It matches the word in the cell, so the flag styles itself.
</t>
        </r>
      </text>
    </comment>
    <comment ref="E9" authorId="8" xr:uid="{05BA59FB-7E04-0684-A53A-FFC7B4337C5F}">
      <text>
        <r>
          <rPr>
            <b/>
            <sz val="9"/>
            <rFont val="Tahoma"/>
          </rPr>
          <t xml:space="preserve">ONLYOFFICE (Guest):</t>
        </r>
        <r>
          <rPr>
            <sz val="9"/>
            <rFont val="Tahoma"/>
          </rPr>
          <t xml:space="preserve">
Anything below 4.4 turns amber, 4.7 and up turns green. Change this to 4.8 and the colour follows.
</t>
        </r>
      </text>
    </comment>
  </commentList>
</comments>
</file>

<file path=xl/sharedStrings.xml><?xml version="1.0" encoding="utf-8"?>
<sst xmlns="http://schemas.openxmlformats.org/spreadsheetml/2006/main" count="62" uniqueCount="62">
  <si>
    <t xml:space="preserve">Spreadsheet Template</t>
  </si>
  <si>
    <t xml:space="preserve">This page demonstrates AI-ready structured data, helper formulas, conditional formatting rules and charts built from the example table.</t>
  </si>
  <si>
    <t xml:space="preserve">Sample Data for AI Analysis</t>
  </si>
  <si>
    <t>Name</t>
  </si>
  <si>
    <t>Department</t>
  </si>
  <si>
    <t>Sales</t>
  </si>
  <si>
    <t>Rating</t>
  </si>
  <si>
    <t xml:space="preserve">Rank by Sales</t>
  </si>
  <si>
    <t xml:space="preserve">Dept Avg Sales</t>
  </si>
  <si>
    <t xml:space="preserve">Performance Flag</t>
  </si>
  <si>
    <t xml:space="preserve">Prompt Idea</t>
  </si>
  <si>
    <t xml:space="preserve">John Smith</t>
  </si>
  <si>
    <t>Marketing</t>
  </si>
  <si>
    <t xml:space="preserve">Try AI summary</t>
  </si>
  <si>
    <t xml:space="preserve">Sarah Johnson</t>
  </si>
  <si>
    <t xml:space="preserve">Mike Brown</t>
  </si>
  <si>
    <t xml:space="preserve">Emily Davis</t>
  </si>
  <si>
    <t>Support</t>
  </si>
  <si>
    <t xml:space="preserve">David Wilson</t>
  </si>
  <si>
    <t xml:space="preserve">Lisa Anderson</t>
  </si>
  <si>
    <t xml:space="preserve">Conditional Formatting Rules</t>
  </si>
  <si>
    <t xml:space="preserve">Data bar</t>
  </si>
  <si>
    <t xml:space="preserve">Sales - the bar fills each cell in proportion to the figure, so the spread reads at a glance</t>
  </si>
  <si>
    <t xml:space="preserve">4.7 and up</t>
  </si>
  <si>
    <t xml:space="preserve">Rating - anything from 4.7 turns green, anything below 4.4 turns amber</t>
  </si>
  <si>
    <t xml:space="preserve">Top three</t>
  </si>
  <si>
    <t xml:space="preserve">Rank by Sales - the three strongest ranks are picked out</t>
  </si>
  <si>
    <t xml:space="preserve">Text rule</t>
  </si>
  <si>
    <t xml:space="preserve">Performance Flag - Top performer yellow, High rating green, Review orange</t>
  </si>
  <si>
    <t xml:space="preserve">Change any figure in the table and every rule redraws while you watch.</t>
  </si>
  <si>
    <t xml:space="preserve">Example AI Prompts</t>
  </si>
  <si>
    <t xml:space="preserve">“Analyze this data and identify top performers”</t>
  </si>
  <si>
    <t xml:space="preserve">“Create a summary of sales by department”</t>
  </si>
  <si>
    <t xml:space="preserve">“Suggest improvements based on the ratings”</t>
  </si>
  <si>
    <t xml:space="preserve">“Generate a trend analysis for the sales column”</t>
  </si>
  <si>
    <t xml:space="preserve">“Calculate the correlation between sales and ratings”</t>
  </si>
  <si>
    <t xml:space="preserve">Quick Summary</t>
  </si>
  <si>
    <t xml:space="preserve">Top Sales</t>
  </si>
  <si>
    <t xml:space="preserve">Average Rating</t>
  </si>
  <si>
    <t>Departments</t>
  </si>
  <si>
    <t xml:space="preserve">Top Performer</t>
  </si>
  <si>
    <t xml:space="preserve">Sales by Department</t>
  </si>
  <si>
    <t>Share</t>
  </si>
  <si>
    <t xml:space="preserve">Sales and Share are SUMIF over the table above, so the charts follow any edit.</t>
  </si>
  <si>
    <t xml:space="preserve">What the app does on a phone</t>
  </si>
  <si>
    <t>Formulas</t>
  </si>
  <si>
    <t>Tables</t>
  </si>
  <si>
    <t>Charts</t>
  </si>
  <si>
    <t>Sharing</t>
  </si>
  <si>
    <t xml:space="preserve">More than 450 functions run on the device.</t>
  </si>
  <si>
    <t xml:space="preserve">Sort, filter and format a range as a real table.</t>
  </si>
  <si>
    <t xml:space="preserve">Column, line, pie and more,               edited in place.</t>
  </si>
  <si>
    <t xml:space="preserve">Send a link or a copy                              straight from the app.</t>
  </si>
  <si>
    <t xml:space="preserve">Works offline</t>
  </si>
  <si>
    <t>Autosave</t>
  </si>
  <si>
    <t xml:space="preserve">Open, edit and recalculate with no connection at all.</t>
  </si>
  <si>
    <t xml:space="preserve">Every change is kept, so nothing is lost if the app closes.</t>
  </si>
  <si>
    <t>Comments</t>
  </si>
  <si>
    <t xml:space="preserve">Open anything</t>
  </si>
  <si>
    <t xml:space="preserve">Leave a note on any cell and reply to one left for you.</t>
  </si>
  <si>
    <t xml:space="preserve">XLSX, XLS, ODS and CSV all keep their formatting.</t>
  </si>
  <si>
    <t xml:space="preserve">Mobile Spreadsheets Template | ONLYOFFICE Mobile Editor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</si>
</sst>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0">
    <font>
      <sz val="11.000000"/>
      <color theme="1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indexed="2"/>
      <name val="Calibri"/>
      <scheme val="minor"/>
    </font>
    <font>
      <sz val="11.000000"/>
      <color rgb="FFFA7D00"/>
      <name val="Calibri"/>
      <scheme val="minor"/>
    </font>
    <font>
      <b/>
      <sz val="18.000000"/>
      <color theme="0"/>
      <name val="Calibri"/>
      <scheme val="minor"/>
    </font>
    <font>
      <i/>
      <sz val="10.000000"/>
      <color theme="1" tint="0.14999847407452621"/>
    </font>
    <font>
      <sz val="11.000000"/>
      <color theme="1" tint="0.14999847407452621"/>
      <name val="Calibri"/>
      <scheme val="minor"/>
    </font>
    <font>
      <b/>
      <sz val="13.000000"/>
      <color theme="1" tint="0.049989318521683403"/>
      <name val="Calibri"/>
      <scheme val="minor"/>
    </font>
    <font>
      <sz val="11.000000"/>
      <color theme="1" tint="0.049989318521683403"/>
      <name val="Calibri"/>
      <scheme val="minor"/>
    </font>
    <font>
      <b/>
      <color indexed="65"/>
    </font>
    <font>
      <b/>
      <sz val="12.000000"/>
      <color rgb="FF2F2F2F"/>
    </font>
    <font>
      <b/>
      <sz val="11.000000"/>
      <color theme="0" tint="0"/>
      <name val="Calibri"/>
    </font>
    <font>
      <sz val="11.000000"/>
      <color theme="1" tint="0.14999847407452621"/>
      <name val="Calibri"/>
    </font>
    <font>
      <b/>
      <sz val="11.000000"/>
      <color theme="9" tint="-0.499984740745262"/>
      <name val="Calibri"/>
    </font>
    <font>
      <b/>
      <sz val="11.000000"/>
      <color theme="4" tint="-0.249977111117893"/>
      <name val="Calibri"/>
    </font>
    <font>
      <b/>
      <sz val="11.000000"/>
      <color theme="7" tint="-0.499984740745262"/>
      <name val="Calibri"/>
    </font>
    <font>
      <i/>
      <sz val="10.000000"/>
      <color theme="1" tint="0.34998626667073579"/>
      <name val="Calibri"/>
    </font>
    <font>
      <sz val="11.000000"/>
      <color theme="1" tint="0.34998626667073579"/>
      <name val="Calibri"/>
      <scheme val="minor"/>
    </font>
    <font>
      <i/>
      <sz val="10.000000"/>
      <color theme="0" tint="-0.499984740745262"/>
      <name val="Calibri"/>
    </font>
    <font>
      <b/>
      <sz val="15.000000"/>
      <color rgb="FF16212B"/>
      <name val="Arial"/>
    </font>
    <font>
      <b/>
      <sz val="20.000000"/>
      <color theme="1" tint="0"/>
      <name val="Arial"/>
    </font>
    <font>
      <sz val="11.000000"/>
      <color theme="1" tint="0"/>
      <name val="Calibri"/>
      <scheme val="minor"/>
    </font>
    <font>
      <b/>
      <sz val="11.000000"/>
      <color theme="1" tint="0"/>
      <name val="Arial"/>
    </font>
    <font>
      <sz val="10.000000"/>
      <color theme="1" tint="0.34998626667073579"/>
      <name val="Arial"/>
    </font>
    <font>
      <b/>
      <sz val="11.000000"/>
      <color rgb="FF16212B"/>
      <name val="Arial"/>
    </font>
    <font>
      <i/>
      <sz val="9.000000"/>
      <color rgb="FF7F7F7F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9" tint="0"/>
        <bgColor theme="9" tint="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n">
        <color theme="8"/>
      </bottom>
      <diagonal style="none"/>
    </border>
    <border>
      <left style="thin">
        <color rgb="FFE6E6E6"/>
      </left>
      <right style="thin">
        <color rgb="FFE6E6E6"/>
      </right>
      <top style="none"/>
      <bottom style="none"/>
      <diagonal style="none"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 style="none"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 style="none"/>
    </border>
    <border>
      <left style="thin">
        <color rgb="FFE6E6E6"/>
      </left>
      <right style="thin">
        <color rgb="FFE6E6E6"/>
      </right>
      <top style="thin">
        <color rgb="FFE6E6E6"/>
      </top>
      <bottom style="none"/>
      <diagonal style="none"/>
    </border>
    <border>
      <left style="thin">
        <color theme="4"/>
      </left>
      <right style="thin">
        <color rgb="FFE6E6E6"/>
      </right>
      <top style="thin">
        <color theme="4"/>
      </top>
      <bottom style="none"/>
      <diagonal style="none"/>
    </border>
    <border>
      <left style="thin">
        <color rgb="FFE6E6E6"/>
      </left>
      <right style="thin">
        <color rgb="FFE6E6E6"/>
      </right>
      <top style="thin">
        <color theme="4"/>
      </top>
      <bottom style="none"/>
      <diagonal style="none"/>
    </border>
  </borders>
  <cellStyleXfs count="11">
    <xf fontId="0" fillId="2" borderId="0" numFmtId="0" applyNumberFormat="1" applyFont="1" applyFill="1" applyBorder="1"/>
    <xf fontId="0" fillId="2" borderId="0" numFmtId="9" applyNumberFormat="1" applyFont="1" applyFill="1" applyBorder="1"/>
    <xf fontId="1" fillId="2" borderId="1" numFmtId="0" applyNumberFormat="1" applyFont="1" applyFill="1" applyBorder="1"/>
    <xf fontId="2" fillId="2" borderId="2" numFmtId="0" applyNumberFormat="1" applyFont="1" applyFill="1" applyBorder="1"/>
    <xf fontId="3" fillId="3" borderId="0" numFmtId="0" applyNumberFormat="1" applyFont="1" applyFill="1" applyBorder="1"/>
    <xf fontId="4" fillId="4" borderId="0" numFmtId="0" applyNumberFormat="1" applyFont="1" applyFill="1" applyBorder="1"/>
    <xf fontId="5" fillId="5" borderId="0" numFmtId="0" applyNumberFormat="1" applyFont="1" applyFill="1" applyBorder="1"/>
    <xf fontId="0" fillId="2" borderId="0" numFmtId="42" applyNumberFormat="1" applyFont="1" applyFill="1" applyBorder="1"/>
    <xf fontId="6" fillId="2" borderId="0" numFmtId="0" applyNumberFormat="1" applyFont="1" applyFill="1" applyBorder="1"/>
    <xf fontId="7" fillId="2" borderId="3" numFmtId="0" applyNumberFormat="1" applyFont="1" applyFill="1" applyBorder="1"/>
    <xf fontId="0" fillId="2" borderId="0" numFmtId="44" applyNumberFormat="1" applyFont="1" applyFill="1" applyBorder="1"/>
  </cellStyleXfs>
  <cellXfs count="47">
    <xf fontId="0" fillId="0" borderId="0" numFmtId="0" xfId="0" quotePrefix="0" pivotButton="0"/>
    <xf fontId="8" fillId="6" borderId="4" numFmtId="0" xfId="2" applyFont="1" applyFill="1" applyBorder="1" applyAlignment="1" quotePrefix="0" pivotButton="0">
      <alignment horizontal="left" vertical="center"/>
    </xf>
    <xf fontId="0" fillId="6" borderId="4" numFmtId="0" xfId="0" applyFill="1" applyBorder="1" applyAlignment="1" quotePrefix="0" pivotButton="0">
      <alignment horizontal="left"/>
    </xf>
    <xf fontId="9" fillId="7" borderId="5" numFmtId="0" xfId="0" applyFont="1" applyFill="1" applyBorder="1" applyAlignment="1" quotePrefix="0" pivotButton="0">
      <alignment horizontal="left" vertical="center" wrapText="1"/>
    </xf>
    <xf fontId="10" fillId="7" borderId="0" numFmtId="0" xfId="0" applyFont="1" applyFill="1" quotePrefix="0" pivotButton="0"/>
    <xf fontId="0" fillId="0" borderId="0" numFmtId="0" xfId="0" quotePrefix="0" pivotButton="0"/>
    <xf fontId="11" fillId="7" borderId="0" numFmtId="0" xfId="3" applyFont="1" applyFill="1" applyAlignment="1" quotePrefix="0" pivotButton="0">
      <alignment horizontal="left"/>
    </xf>
    <xf fontId="12" fillId="7" borderId="0" numFmtId="0" xfId="0" applyFont="1" applyFill="1" quotePrefix="0" pivotButton="0"/>
    <xf fontId="13" fillId="8" borderId="6" numFmtId="0" xfId="0" applyFont="1" applyFill="1" applyBorder="1" applyAlignment="1" quotePrefix="0" pivotButton="0">
      <alignment horizontal="left" vertical="center"/>
    </xf>
    <xf fontId="0" fillId="0" borderId="6" numFmtId="0" xfId="0" applyBorder="1" applyAlignment="1" quotePrefix="0" pivotButton="0">
      <alignment horizontal="left"/>
    </xf>
    <xf fontId="0" fillId="0" borderId="6" numFmtId="1" xfId="0" applyNumberFormat="1" applyBorder="1" applyAlignment="1" quotePrefix="0" pivotButton="0">
      <alignment horizontal="right"/>
    </xf>
    <xf fontId="0" fillId="0" borderId="6" numFmtId="164" xfId="0" applyNumberFormat="1" applyBorder="1" applyAlignment="1" quotePrefix="0" pivotButton="0">
      <alignment horizontal="right"/>
    </xf>
    <xf fontId="0" fillId="0" borderId="6" numFmtId="0" xfId="0" applyBorder="1" applyAlignment="1" quotePrefix="0" pivotButton="0">
      <alignment horizontal="right"/>
    </xf>
    <xf fontId="14" fillId="7" borderId="7" numFmtId="0" xfId="0" applyFont="1" applyFill="1" applyBorder="1" applyAlignment="1" quotePrefix="0" pivotButton="0">
      <alignment horizontal="left"/>
    </xf>
    <xf fontId="15" fillId="8" borderId="6" numFmtId="0" xfId="0" applyFont="1" applyFill="1" applyBorder="1" applyAlignment="1" quotePrefix="0" pivotButton="0">
      <alignment horizontal="center" vertical="center"/>
    </xf>
    <xf fontId="16" fillId="0" borderId="0" numFmtId="0" xfId="0" applyFont="1" applyAlignment="1" quotePrefix="0" pivotButton="0">
      <alignment horizontal="left" vertical="center"/>
    </xf>
    <xf fontId="10" fillId="0" borderId="0" numFmtId="0" xfId="0" applyFont="1" quotePrefix="0" pivotButton="0"/>
    <xf fontId="17" fillId="9" borderId="6" numFmtId="0" xfId="0" applyFont="1" applyFill="1" applyBorder="1" applyAlignment="1" quotePrefix="0" pivotButton="0">
      <alignment horizontal="center" vertical="center"/>
    </xf>
    <xf fontId="0" fillId="0" borderId="0" numFmtId="0" xfId="0" applyAlignment="1" quotePrefix="0" pivotButton="0">
      <alignment vertical="center"/>
    </xf>
    <xf fontId="18" fillId="10" borderId="6" numFmtId="0" xfId="0" applyFont="1" applyFill="1" applyBorder="1" applyAlignment="1" quotePrefix="0" pivotButton="0">
      <alignment horizontal="center" vertical="center"/>
    </xf>
    <xf fontId="10" fillId="0" borderId="0" numFmtId="0" xfId="0" applyFont="1" applyAlignment="1" quotePrefix="0" pivotButton="0">
      <alignment vertical="center"/>
    </xf>
    <xf fontId="19" fillId="11" borderId="6" numFmtId="0" xfId="0" applyFont="1" applyFill="1" applyBorder="1" applyAlignment="1" quotePrefix="0" pivotButton="0">
      <alignment horizontal="center" vertical="center"/>
    </xf>
    <xf fontId="20" fillId="0" borderId="0" numFmtId="0" xfId="0" applyFont="1" applyAlignment="1" quotePrefix="0" pivotButton="0">
      <alignment horizontal="left" vertical="center"/>
    </xf>
    <xf fontId="21" fillId="0" borderId="0" numFmtId="0" xfId="0" applyFont="1" quotePrefix="0" pivotButton="0"/>
    <xf fontId="14" fillId="7" borderId="8" numFmtId="0" xfId="0" applyFont="1" applyFill="1" applyBorder="1" applyAlignment="1" quotePrefix="0" pivotButton="0">
      <alignment horizontal="left"/>
    </xf>
    <xf fontId="0" fillId="0" borderId="6" numFmtId="0" xfId="0" applyBorder="1" applyAlignment="1" quotePrefix="0" pivotButton="0">
      <alignment horizontal="left" vertical="center"/>
    </xf>
    <xf fontId="0" fillId="0" borderId="6" numFmtId="0" xfId="0" applyBorder="1" quotePrefix="0" pivotButton="0"/>
    <xf fontId="0" fillId="0" borderId="6" numFmtId="164" xfId="0" applyNumberFormat="1" applyBorder="1" quotePrefix="0" pivotButton="0"/>
    <xf fontId="13" fillId="8" borderId="9" numFmtId="0" xfId="0" applyFont="1" applyFill="1" applyBorder="1" applyAlignment="1" quotePrefix="0" pivotButton="0">
      <alignment horizontal="center" vertical="center"/>
    </xf>
    <xf fontId="13" fillId="8" borderId="10" numFmtId="0" xfId="0" applyFont="1" applyFill="1" applyBorder="1" applyAlignment="1" quotePrefix="0" pivotButton="0">
      <alignment horizontal="center" vertical="center"/>
    </xf>
    <xf fontId="0" fillId="0" borderId="6" numFmtId="3" xfId="0" applyNumberFormat="1" applyBorder="1" applyAlignment="1" quotePrefix="0" pivotButton="0">
      <alignment horizontal="left"/>
    </xf>
    <xf fontId="0" fillId="0" borderId="6" numFmtId="9" xfId="0" applyNumberFormat="1" applyBorder="1" applyAlignment="1" quotePrefix="0" pivotButton="0">
      <alignment horizontal="right"/>
    </xf>
    <xf fontId="22" fillId="0" borderId="0" numFmtId="0" xfId="0" applyFont="1" applyAlignment="1" quotePrefix="0" pivotButton="0">
      <alignment horizontal="left" vertical="center"/>
    </xf>
    <xf fontId="23" fillId="0" borderId="0" numFmtId="0" xfId="0" applyFont="1" applyAlignment="1" quotePrefix="0" pivotButton="0">
      <alignment horizontal="left" vertical="center"/>
    </xf>
    <xf fontId="23" fillId="9" borderId="0" numFmtId="0" xfId="0" applyFont="1" applyFill="1" applyAlignment="1" quotePrefix="0" pivotButton="0">
      <alignment horizontal="left" vertical="center"/>
    </xf>
    <xf fontId="24" fillId="9" borderId="0" numFmtId="0" xfId="0" applyFont="1" applyFill="1" applyAlignment="1" quotePrefix="0" pivotButton="0">
      <alignment vertical="center"/>
    </xf>
    <xf fontId="25" fillId="9" borderId="0" numFmtId="0" xfId="0" applyFont="1" applyFill="1" quotePrefix="0" pivotButton="0"/>
    <xf fontId="24" fillId="9" borderId="0" numFmtId="0" xfId="0" applyFont="1" applyFill="1" applyAlignment="1" quotePrefix="0" pivotButton="0">
      <alignment horizontal="center" vertical="center"/>
    </xf>
    <xf fontId="26" fillId="9" borderId="0" numFmtId="0" xfId="0" applyFont="1" applyFill="1" applyAlignment="1" quotePrefix="0" pivotButton="0">
      <alignment horizontal="center" vertical="center"/>
    </xf>
    <xf fontId="27" fillId="9" borderId="0" numFmtId="0" xfId="0" applyFont="1" applyFill="1" applyAlignment="1" quotePrefix="0" pivotButton="0">
      <alignment horizontal="center" vertical="top" wrapText="1"/>
    </xf>
    <xf fontId="0" fillId="9" borderId="0" numFmtId="0" xfId="0" applyFill="1" quotePrefix="0" pivotButton="0"/>
    <xf fontId="0" fillId="7" borderId="0" numFmtId="0" xfId="0" applyFill="1" quotePrefix="0" pivotButton="0"/>
    <xf fontId="28" fillId="7" borderId="0" numFmtId="0" xfId="0" applyFont="1" applyFill="1" applyAlignment="1" quotePrefix="0" pivotButton="0">
      <alignment horizontal="left" vertical="center"/>
    </xf>
    <xf fontId="27" fillId="7" borderId="0" numFmtId="0" xfId="0" applyFont="1" applyFill="1" applyAlignment="1" quotePrefix="0" pivotButton="0">
      <alignment horizontal="left" vertical="center" wrapText="1"/>
    </xf>
    <xf fontId="28" fillId="7" borderId="0" numFmtId="0" xfId="0" applyFont="1" applyFill="1" applyAlignment="1" quotePrefix="0" pivotButton="0">
      <alignment vertical="center"/>
    </xf>
    <xf fontId="29" fillId="0" borderId="0" numFmtId="0" xfId="0" applyFont="1" applyAlignment="1" quotePrefix="0" pivotButton="0">
      <alignment horizontal="left"/>
    </xf>
    <xf fontId="0" fillId="0" borderId="0" numFmtId="0" xfId="0" applyAlignment="1" quotePrefix="0" pivotButton="0">
      <alignment horizontal="left"/>
    </xf>
  </cellXfs>
  <cellStyles count="11">
    <cellStyle name="Normal" xfId="0" builtinId="0"/>
    <cellStyle name="Percent" xfId="1" builtinId="5"/>
    <cellStyle name="Heading 1" xfId="2" builtinId="16"/>
    <cellStyle name="Heading 2" xfId="3" builtinId="17"/>
    <cellStyle name="Bad" xfId="4" builtinId="27"/>
    <cellStyle name="Good" xfId="5" builtinId="26"/>
    <cellStyle name="Neutral" xfId="6" builtinId="28"/>
    <cellStyle name="Currency [0]" xfId="7" builtinId="7"/>
    <cellStyle name="Warning Text" xfId="8" builtinId="11"/>
    <cellStyle name="Linked Cell" xfId="9" builtinId="24"/>
    <cellStyle name="Currency" xfId="10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>
                    <a:lumMod val="65000"/>
                    <a:lumOff val="35000"/>
                  </a:schemeClr>
                </a:solidFill>
              </a:rPr>
              <a:t>Sales by person</a:t>
            </a:r>
            <a:endParaRPr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112330"/>
          <c:y val="0.113220"/>
          <c:w val="0.839770"/>
          <c:h val="0.683040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Template!$B$7</c:f>
              <c:strCache>
                <c:ptCount val="1"/>
                <c:pt idx="0">
                  <c:v>John Smith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Template!$D$6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Template!$D$7</c:f>
              <c:numCache>
                <c:formatCode>0</c:formatCode>
                <c:ptCount val="1"/>
                <c:pt idx="0">
                  <c:v>45000</c:v>
                </c:pt>
              </c:numCache>
            </c:numRef>
          </c:val>
        </c:ser>
        <c:ser>
          <c:idx val="1"/>
          <c:order val="1"/>
          <c:tx>
            <c:strRef>
              <c:f>Template!$B$8</c:f>
              <c:strCache>
                <c:ptCount val="1"/>
                <c:pt idx="0">
                  <c:v>Sarah Johnson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Template!$D$6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Template!$D$8</c:f>
              <c:numCache>
                <c:formatCode>0</c:formatCode>
                <c:ptCount val="1"/>
                <c:pt idx="0">
                  <c:v>62000</c:v>
                </c:pt>
              </c:numCache>
            </c:numRef>
          </c:val>
        </c:ser>
        <c:ser>
          <c:idx val="3"/>
          <c:order val="2"/>
          <c:tx>
            <c:strRef>
              <c:f>Template!$B$9</c:f>
              <c:strCache>
                <c:ptCount val="1"/>
                <c:pt idx="0">
                  <c:v>Mike Brown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Template!$D$6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Template!$D$9</c:f>
              <c:numCache>
                <c:formatCode>0</c:formatCode>
                <c:ptCount val="1"/>
                <c:pt idx="0">
                  <c:v>38000</c:v>
                </c:pt>
              </c:numCache>
            </c:numRef>
          </c:val>
        </c:ser>
        <c:ser>
          <c:idx val="4"/>
          <c:order val="3"/>
          <c:tx>
            <c:strRef>
              <c:f>Template!$B$10</c:f>
              <c:strCache>
                <c:ptCount val="1"/>
                <c:pt idx="0">
                  <c:v>Emily Davis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Template!$D$6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Template!$D$10</c:f>
              <c:numCache>
                <c:formatCode>0</c:formatCode>
                <c:ptCount val="1"/>
                <c:pt idx="0">
                  <c:v>28000</c:v>
                </c:pt>
              </c:numCache>
            </c:numRef>
          </c:val>
        </c:ser>
        <c:ser>
          <c:idx val="5"/>
          <c:order val="4"/>
          <c:tx>
            <c:strRef>
              <c:f>Template!$B$11</c:f>
              <c:strCache>
                <c:ptCount val="1"/>
                <c:pt idx="0">
                  <c:v>David Wilson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Template!$D$6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Template!$D$11</c:f>
              <c:numCache>
                <c:formatCode>0</c:formatCode>
                <c:ptCount val="1"/>
                <c:pt idx="0">
                  <c:v>71000</c:v>
                </c:pt>
              </c:numCache>
            </c:numRef>
          </c:val>
        </c:ser>
        <c:ser>
          <c:idx val="6"/>
          <c:order val="5"/>
          <c:tx>
            <c:strRef>
              <c:f>Template!$B$12</c:f>
              <c:strCache>
                <c:ptCount val="1"/>
                <c:pt idx="0">
                  <c:v>Lisa Anderson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>
                <a:lumMod val="75000"/>
              </a:schemeClr>
            </a:solidFill>
            <a:ln>
              <a:noFill/>
            </a:ln>
          </c:spPr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Template!$D$6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Template!$D$12</c:f>
              <c:numCache>
                <c:formatCode>0</c:formatCode>
                <c:ptCount val="1"/>
                <c:pt idx="0">
                  <c:v>25000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182"/>
        <c:axId val="1001"/>
        <c:axId val="1002"/>
      </c:barChart>
      <c:catAx>
        <c:axId val="1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noMultiLvlLbl val="0"/>
      </c:catAx>
      <c:valAx>
        <c:axId val="100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10020"/>
          <c:y val="0.896150"/>
          <c:w val="0.670270"/>
          <c:h val="0.0878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42875" y="4406263"/>
      <a:ext cx="5829298" cy="376808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>
                    <a:lumMod val="65000"/>
                    <a:lumOff val="35000"/>
                  </a:schemeClr>
                </a:solidFill>
              </a:rPr>
              <a:t>Sales share by department</a:t>
            </a:r>
            <a:endParaRPr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pieChart>
        <c:varyColors val="1"/>
        <c:ser>
          <c:idx val="0"/>
          <c:order val="0"/>
          <c:tx>
            <c:strRef>
              <c:f>Template!$J$36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6"/>
              </a:solidFill>
            </c:spPr>
          </c:dPt>
          <c:dLbls>
            <c:dLbl>
              <c:idx val="0"/>
              <c:layout>
                <c:manualLayout>
                  <c:x val="0.000000"/>
                  <c:y val="-0.003490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800" b="1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ctr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ln/>
              </c:spPr>
              <c:txPr>
                <a:bodyPr/>
                <a:p>
                  <a:pPr>
                    <a:defRPr sz="1800" b="1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ctr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ln/>
              </c:spPr>
              <c:txPr>
                <a:bodyPr/>
                <a:p>
                  <a:pPr>
                    <a:defRPr sz="1800" b="1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ctr"/>
            <c:showBubbleSize val="0"/>
            <c:showCatName val="0"/>
            <c:showLeaderLines val="1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800" b="1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Template!$H$37:$H$39</c:f>
              <c:strCache>
                <c:ptCount val="3"/>
                <c:pt idx="0">
                  <c:v>Marketing</c:v>
                </c:pt>
                <c:pt idx="1">
                  <c:v>Sales</c:v>
                </c:pt>
                <c:pt idx="2">
                  <c:v>Support</c:v>
                </c:pt>
              </c:strCache>
            </c:strRef>
          </c:cat>
          <c:val>
            <c:numRef>
              <c:f>Template!$J$37:$J$39</c:f>
              <c:numCache>
                <c:formatCode>0%</c:formatCode>
                <c:ptCount val="3"/>
                <c:pt idx="0">
                  <c:v>0.30855018587360594</c:v>
                </c:pt>
                <c:pt idx="1">
                  <c:v>0.4944237918215613</c:v>
                </c:pt>
                <c:pt idx="2">
                  <c:v>0.1970260223048327</c:v>
                </c:pt>
              </c:numCache>
            </c:numRef>
          </c:val>
        </c:ser>
        <c:dLbls>
          <c:dLblPos val="ctr"/>
          <c:showBubbleSize val="0"/>
          <c:showCatName val="0"/>
          <c:showLeaderLines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609599" y="8583598"/>
      <a:ext cx="3973828" cy="269938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>
                <a:solidFill>
                  <a:schemeClr val="tx1">
                    <a:lumMod val="75000"/>
                    <a:lumOff val="25000"/>
                  </a:schemeClr>
                </a:solidFill>
              </a:rPr>
              <a:t>Rating against sales</a:t>
            </a:r>
            <a:endParaRPr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90820"/>
          <c:y val="0.173760"/>
          <c:w val="0.882560"/>
          <c:h val="0.720150"/>
        </c:manualLayout>
      </c:layout>
      <c:lineChart>
        <c:grouping val="stacked"/>
        <c:varyColors val="0"/>
        <c:ser>
          <c:idx val="0"/>
          <c:order val="0"/>
          <c:tx>
            <c:strRef>
              <c:f>Template!$E$6</c:f>
              <c:strCache>
                <c:ptCount val="1"/>
                <c:pt idx="0">
                  <c:v>Rating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76200" cap="flat" cmpd="sng" algn="ctr">
                <a:solidFill>
                  <a:schemeClr val="accent2"/>
                </a:solidFill>
                <a:prstDash val="solid"/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Template!$D$7:$D$12</c:f>
              <c:numCache>
                <c:formatCode>0</c:formatCode>
                <c:ptCount val="6"/>
                <c:pt idx="0">
                  <c:v>45000</c:v>
                </c:pt>
                <c:pt idx="1">
                  <c:v>62000</c:v>
                </c:pt>
                <c:pt idx="2">
                  <c:v>38000</c:v>
                </c:pt>
                <c:pt idx="3">
                  <c:v>28000</c:v>
                </c:pt>
                <c:pt idx="4">
                  <c:v>71000</c:v>
                </c:pt>
                <c:pt idx="5">
                  <c:v>25000</c:v>
                </c:pt>
              </c:numCache>
            </c:numRef>
          </c:cat>
          <c:val>
            <c:numRef>
              <c:f>Template!$E$7:$E$12</c:f>
              <c:numCache>
                <c:formatCode>0.0</c:formatCode>
                <c:ptCount val="6"/>
                <c:pt idx="0">
                  <c:v>4.8</c:v>
                </c:pt>
                <c:pt idx="1">
                  <c:v>4.5</c:v>
                </c:pt>
                <c:pt idx="2">
                  <c:v>4.2</c:v>
                </c:pt>
                <c:pt idx="3">
                  <c:v>4.9</c:v>
                </c:pt>
                <c:pt idx="4">
                  <c:v>4.6</c:v>
                </c:pt>
                <c:pt idx="5">
                  <c:v>4.7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txPr>
            <a:bodyPr/>
            <a:p>
              <a:pPr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</a:defRPr>
              </a:pPr>
              <a:endParaRPr/>
            </a:p>
          </c:txPr>
        </c:dLbls>
        <c:marker val="1"/>
        <c:smooth val="0"/>
        <c:axId val="1866169567"/>
        <c:axId val="1866169568"/>
      </c:lineChart>
      <c:catAx>
        <c:axId val="1866169567"/>
        <c:scaling>
          <c:orientation val="minMax"/>
        </c:scaling>
        <c:delete val="0"/>
        <c:axPos val="b"/>
        <c:numFmt formatCode="0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68"/>
        <c:crosses val="autoZero"/>
        <c:auto val="1"/>
        <c:lblAlgn val="ctr"/>
        <c:lblOffset val="100"/>
        <c:noMultiLvlLbl val="0"/>
      </c:catAx>
      <c:valAx>
        <c:axId val="18661695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100" b="1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6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4583428" y="8583598"/>
      <a:ext cx="4293870" cy="269938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>
              <a:lumMod val="75000"/>
              <a:lumOff val="25000"/>
            </a:schemeClr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21</xdr:row>
      <xdr:rowOff>5713</xdr:rowOff>
    </xdr:from>
    <xdr:to>
      <xdr:col>6</xdr:col>
      <xdr:colOff>895349</xdr:colOff>
      <xdr:row>39</xdr:row>
      <xdr:rowOff>1903</xdr:rowOff>
    </xdr:to>
    <xdr:graphicFrame>
      <xdr:nvGraphicFramePr>
        <xdr:cNvPr id="864609549" name=""/>
        <xdr:cNvGraphicFramePr>
          <a:graphicFrameLocks xmlns:a="http://schemas.openxmlformats.org/drawingml/2006/main"/>
        </xdr:cNvGraphicFramePr>
      </xdr:nvGraphicFramePr>
      <xdr:xfrm rot="0">
        <a:off x="142875" y="4406263"/>
        <a:ext cx="5829298" cy="376808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</xdr:col>
      <xdr:colOff>0</xdr:colOff>
      <xdr:row>40</xdr:row>
      <xdr:rowOff>77771</xdr:rowOff>
    </xdr:from>
    <xdr:to>
      <xdr:col>5</xdr:col>
      <xdr:colOff>106678</xdr:colOff>
      <xdr:row>55</xdr:row>
      <xdr:rowOff>62533</xdr:rowOff>
    </xdr:to>
    <xdr:graphicFrame>
      <xdr:nvGraphicFramePr>
        <xdr:cNvPr id="2051481548" name=""/>
        <xdr:cNvGraphicFramePr>
          <a:graphicFrameLocks xmlns:a="http://schemas.openxmlformats.org/drawingml/2006/main"/>
        </xdr:cNvGraphicFramePr>
      </xdr:nvGraphicFramePr>
      <xdr:xfrm rot="0">
        <a:off x="609599" y="8583598"/>
        <a:ext cx="3973828" cy="269938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5</xdr:col>
      <xdr:colOff>106678</xdr:colOff>
      <xdr:row>40</xdr:row>
      <xdr:rowOff>77771</xdr:rowOff>
    </xdr:from>
    <xdr:to>
      <xdr:col>8</xdr:col>
      <xdr:colOff>1194431</xdr:colOff>
      <xdr:row>55</xdr:row>
      <xdr:rowOff>62533</xdr:rowOff>
    </xdr:to>
    <xdr:graphicFrame>
      <xdr:nvGraphicFramePr>
        <xdr:cNvPr id="1244528950" name=""/>
        <xdr:cNvGraphicFramePr>
          <a:graphicFrameLocks xmlns:a="http://schemas.openxmlformats.org/drawingml/2006/main"/>
        </xdr:cNvGraphicFramePr>
      </xdr:nvGraphicFramePr>
      <xdr:xfrm rot="0">
        <a:off x="4583428" y="8583598"/>
        <a:ext cx="4293870" cy="269938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137359</xdr:colOff>
      <xdr:row>1</xdr:row>
      <xdr:rowOff>219175</xdr:rowOff>
    </xdr:from>
    <xdr:to>
      <xdr:col>8</xdr:col>
      <xdr:colOff>800099</xdr:colOff>
      <xdr:row>3</xdr:row>
      <xdr:rowOff>47623</xdr:rowOff>
    </xdr:to>
    <xdr:sp>
      <xdr:nvSpPr>
        <xdr:cNvPr id="279223755" name=""/>
        <xdr:cNvSpPr/>
      </xdr:nvSpPr>
      <xdr:spPr bwMode="auto">
        <a:xfrm rot="0" flipH="0" flipV="0">
          <a:off x="7547809" y="362054"/>
          <a:ext cx="662739" cy="580920"/>
        </a:xfrm>
        <a:prstGeom prst="star5">
          <a:avLst>
            <a:gd name="adj" fmla="val 27784"/>
            <a:gd name="hf" fmla="val 105146"/>
            <a:gd name="vf" fmla="val 110557"/>
          </a:avLst>
        </a:prstGeom>
        <a:solidFill>
          <a:schemeClr val="accent4">
            <a:lumMod val="60000"/>
            <a:lumOff val="40000"/>
          </a:schemeClr>
        </a:solidFill>
        <a:ln w="12700" cap="flat" cmpd="sng" algn="ctr">
          <a:solidFill>
            <a:schemeClr val="accent4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</xdr:col>
      <xdr:colOff>102869</xdr:colOff>
      <xdr:row>41</xdr:row>
      <xdr:rowOff>150491</xdr:rowOff>
    </xdr:from>
    <xdr:to>
      <xdr:col>1</xdr:col>
      <xdr:colOff>494109</xdr:colOff>
      <xdr:row>45</xdr:row>
      <xdr:rowOff>113109</xdr:rowOff>
    </xdr:to>
    <xdr:sp>
      <xdr:nvSpPr>
        <xdr:cNvPr id="636081966" name=""/>
        <xdr:cNvSpPr/>
      </xdr:nvSpPr>
      <xdr:spPr bwMode="auto">
        <a:xfrm rot="0" flipH="0" flipV="0">
          <a:off x="245744" y="8734898"/>
          <a:ext cx="391238" cy="676992"/>
        </a:xfrm>
        <a:prstGeom prst="upArrow">
          <a:avLst>
            <a:gd name="adj1" fmla="val 34453"/>
            <a:gd name="adj2" fmla="val 50000"/>
          </a:avLst>
        </a:prstGeom>
        <a:ln w="25400" cap="flat" cmpd="sng" algn="ctr">
          <a:solidFill>
            <a:schemeClr val="accent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8</xdr:col>
      <xdr:colOff>38098</xdr:colOff>
      <xdr:row>14</xdr:row>
      <xdr:rowOff>19048</xdr:rowOff>
    </xdr:from>
    <xdr:to>
      <xdr:col>8</xdr:col>
      <xdr:colOff>923923</xdr:colOff>
      <xdr:row>18</xdr:row>
      <xdr:rowOff>36193</xdr:rowOff>
    </xdr:to>
    <xdr:sp>
      <xdr:nvSpPr>
        <xdr:cNvPr id="1121086134" name=""/>
        <xdr:cNvSpPr/>
      </xdr:nvSpPr>
      <xdr:spPr bwMode="auto">
        <a:xfrm rot="0" flipH="0" flipV="0">
          <a:off x="7915273" y="3000372"/>
          <a:ext cx="885824" cy="883919"/>
        </a:xfrm>
        <a:prstGeom prst="mathPlus">
          <a:avLst>
            <a:gd name="adj1" fmla="val 13235"/>
          </a:avLst>
        </a:prstGeom>
        <a:solidFill>
          <a:schemeClr val="accent2"/>
        </a:solidFill>
        <a:ln w="25400" cap="flat" cmpd="sng" algn="ctr">
          <a:solidFill>
            <a:schemeClr val="accent2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8</xdr:col>
      <xdr:colOff>38098</xdr:colOff>
      <xdr:row>18</xdr:row>
      <xdr:rowOff>36193</xdr:rowOff>
    </xdr:from>
    <xdr:to>
      <xdr:col>8</xdr:col>
      <xdr:colOff>971548</xdr:colOff>
      <xdr:row>21</xdr:row>
      <xdr:rowOff>22858</xdr:rowOff>
    </xdr:to>
    <xdr:sp>
      <xdr:nvSpPr>
        <xdr:cNvPr id="717968048" name=""/>
        <xdr:cNvSpPr/>
      </xdr:nvSpPr>
      <xdr:spPr bwMode="auto">
        <a:xfrm rot="0" flipH="0" flipV="0">
          <a:off x="7915273" y="3884293"/>
          <a:ext cx="933449" cy="577214"/>
        </a:xfrm>
        <a:prstGeom prst="mathMinus">
          <a:avLst>
            <a:gd name="adj1" fmla="val 23520"/>
          </a:avLst>
        </a:prstGeom>
        <a:solidFill>
          <a:schemeClr val="accent1"/>
        </a:solidFill>
        <a:ln w="25400" cap="flat" cmpd="sng" algn="ctr">
          <a:solidFill>
            <a:schemeClr val="accent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oneCellAnchor>
    <xdr:from>
      <xdr:col>1</xdr:col>
      <xdr:colOff>1091560</xdr:colOff>
      <xdr:row>58</xdr:row>
      <xdr:rowOff>26665</xdr:rowOff>
    </xdr:from>
    <xdr:ext cx="274316" cy="274316"/>
    <xdr:pic>
      <xdr:nvPicPr>
        <xdr:cNvPr id="2033264152" name="Picture 1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1234435" y="12099603"/>
          <a:ext cx="274317" cy="274317"/>
        </a:xfrm>
        <a:prstGeom prst="flowChartAlternateProcess">
          <a:avLst/>
        </a:prstGeom>
        <a:solidFill>
          <a:schemeClr val="accent6"/>
        </a:solidFill>
      </xdr:spPr>
    </xdr:pic>
    <xdr:clientData/>
  </xdr:oneCellAnchor>
  <xdr:oneCellAnchor>
    <xdr:from>
      <xdr:col>3</xdr:col>
      <xdr:colOff>625915</xdr:colOff>
      <xdr:row>58</xdr:row>
      <xdr:rowOff>26665</xdr:rowOff>
    </xdr:from>
    <xdr:ext cx="274315" cy="274315"/>
    <xdr:pic>
      <xdr:nvPicPr>
        <xdr:cNvPr id="1299777942" name="Picture 15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3167902" y="12099603"/>
          <a:ext cx="274315" cy="274315"/>
        </a:xfrm>
        <a:prstGeom prst="flowChartAlternateProcess">
          <a:avLst/>
        </a:prstGeom>
        <a:solidFill>
          <a:schemeClr val="accent6"/>
        </a:solidFill>
      </xdr:spPr>
    </xdr:pic>
    <xdr:clientData/>
  </xdr:oneCellAnchor>
  <xdr:oneCellAnchor>
    <xdr:from>
      <xdr:col>5</xdr:col>
      <xdr:colOff>923923</xdr:colOff>
      <xdr:row>58</xdr:row>
      <xdr:rowOff>26665</xdr:rowOff>
    </xdr:from>
    <xdr:ext cx="274316" cy="274316"/>
    <xdr:pic>
      <xdr:nvPicPr>
        <xdr:cNvPr id="287322197" name="Picture 16"/>
        <xdr:cNvPicPr>
          <a:picLocks noChangeAspect="1"/>
        </xdr:cNvPicPr>
      </xdr:nvPicPr>
      <xdr:blipFill rotWithShape="1">
        <a:blip r:embed="rId6"/>
        <a:stretch/>
      </xdr:blipFill>
      <xdr:spPr bwMode="auto">
        <a:xfrm>
          <a:off x="4930377" y="12099603"/>
          <a:ext cx="274317" cy="274317"/>
        </a:xfrm>
        <a:prstGeom prst="flowChartAlternateProcess">
          <a:avLst/>
        </a:prstGeom>
        <a:solidFill>
          <a:schemeClr val="accent6"/>
        </a:solidFill>
      </xdr:spPr>
    </xdr:pic>
    <xdr:clientData/>
  </xdr:oneCellAnchor>
  <xdr:oneCellAnchor>
    <xdr:from>
      <xdr:col>7</xdr:col>
      <xdr:colOff>1009647</xdr:colOff>
      <xdr:row>58</xdr:row>
      <xdr:rowOff>26665</xdr:rowOff>
    </xdr:from>
    <xdr:ext cx="274316" cy="274316"/>
    <xdr:pic>
      <xdr:nvPicPr>
        <xdr:cNvPr id="651897167" name="Picture 17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7147318" y="12099603"/>
          <a:ext cx="274317" cy="274317"/>
        </a:xfrm>
        <a:prstGeom prst="flowChartAlternateProcess">
          <a:avLst/>
        </a:prstGeom>
        <a:solidFill>
          <a:schemeClr val="accent6"/>
        </a:solidFill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NLYOFFICE (Guest)" id="{22FEC382-35E1-0EA5-464A-1F262533A1B5}" userId="uid-1787044079355" providerId="Teamlab"/>
  <person displayName="John Smith (Guest)" id="{39C5B778-5CAD-4781-9E42-431B912841EB}" userId="uid-1787044079356" providerId="Teamlab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SalesData" ref="B6:I12" headerRowCount="1">
  <autoFilter ref="B6:I12"/>
  <tableColumns count="8">
    <tableColumn id="1" name="Name"/>
    <tableColumn id="2" name="Department"/>
    <tableColumn id="3" name="Sales"/>
    <tableColumn id="4" name="Rating"/>
    <tableColumn id="5" name="Rank by Sales"/>
    <tableColumn id="6" name="Dept Avg Sales"/>
    <tableColumn id="7" name="Performance Flag"/>
    <tableColumn id="8" name="Prompt Idea"/>
  </tableColumns>
  <tableStyleInfo name="TableStyleLight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>
    <a:extraClrScheme>
      <a:clrScheme name="Office">
        <a:dk1>
          <a:sysClr val="windowText" lastClr="000000"/>
        </a:dk1>
        <a:lt1>
          <a:sysClr val="window" lastClr="FFFFFF"/>
        </a:lt1>
        <a:dk2>
          <a:srgbClr val="1F497D"/>
        </a:dk2>
        <a:lt2>
          <a:srgbClr val="EEECE1"/>
        </a:lt2>
        <a:accent1>
          <a:srgbClr val="4F81BD"/>
        </a:accent1>
        <a:accent2>
          <a:srgbClr val="C0504D"/>
        </a:accent2>
        <a:accent3>
          <a:srgbClr val="9BBB59"/>
        </a:accent3>
        <a:accent4>
          <a:srgbClr val="8064A2"/>
        </a:accent4>
        <a:accent5>
          <a:srgbClr val="4BACC6"/>
        </a:accent5>
        <a:accent6>
          <a:srgbClr val="F79646"/>
        </a:accent6>
        <a:hlink>
          <a:srgbClr val="0000FF"/>
        </a:hlink>
        <a:folHlink>
          <a:srgbClr val="800080"/>
        </a:folHlink>
      </a:clrScheme>
    </a:extraClrScheme>
  </a:extraClrScheme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6-08-18T09:09:33.37Z" personId="{22FEC382-35E1-0EA5-464A-1F262533A1B5}" id="{E062B45F-D588-1174-4A0F-B6A26D815FAE}" done="0">
    <text xml:space="preserve">RANK over the Sales column. Values 1, 2 and 3 are highlighted by a less-than-or-equal-to-3 rule, not by hand.
</text>
  </threadedComment>
  <threadedComment ref="H23" dT="2026-08-18T09:13:01.11Z" personId="{22FEC382-35E1-0EA5-464A-1F262533A1B5}" id="{DBC086B4-D742-030B-A223-33168F9DB1B4}" done="0">
    <text xml:space="preserve">Try this one first: select B6:I12, open AI Assistant and paste this line.
</text>
  </threadedComment>
  <threadedComment ref="I30" dT="2026-08-18T09:12:27.06Z" personId="{22FEC382-35E1-0EA5-464A-1F262533A1B5}" id="{D45D1249-6E66-47FE-6F1E-209DE777734F}" done="0">
    <text xml:space="preserve">MAX over the Sales column. Top Performer below uses INDEX/MATCH to show the record behind that maximum.
</text>
  </threadedComment>
  <threadedComment ref="I37" dT="2026-08-18T09:11:14.37Z" personId="{22FEC382-35E1-0EA5-464A-1F262533A1B5}" id="{58099CCE-4008-3B91-44F4-75D00E643724}" done="0">
    <text xml:space="preserve">SUMIF over the table above. Edit any sales value and this summary and all three charts update together.
</text>
  </threadedComment>
  <threadedComment ref="D7" dT="2026-08-18T09:08:41.35Z" personId="{22FEC382-35E1-0EA5-464A-1F262533A1B5}" id="{48CB5418-FAFB-F904-92FB-56A2810782CF}" done="0">
    <text xml:space="preserve">Every figure in this column carries a data bar. Type a bigger number and watch the data bar and all three charts redraw.
</text>
  </threadedComment>
  <threadedComment ref="D7" dT="2026-08-18T09:15:17.15Z" personId="{39C5B778-5CAD-4781-9E42-431B912841EB}" id="{69748ED9-FBC6-3796-26EA-DDF3126EC892}" parentId="{48CB5418-FAFB-F904-92FB-56A2810782CF}" done="0">
    <text xml:space="preserve">Tried 90000 — the bar clips at the column ceiling, that is the rule's max, not a bug.
</text>
  </threadedComment>
  <threadedComment ref="I7" dT="2026-08-18T09:10:51.86Z" personId="{22FEC382-35E1-0EA5-464A-1F262533A1B5}" id="{4DE694F6-C0D1-0F3D-F1CA-876617960F64}" done="0">
    <text xml:space="preserve">Select the row, tap the AI icon and paste one of the prompts below.
</text>
  </threadedComment>
  <threadedComment ref="G8" dT="2026-08-18T09:10:08.13Z" personId="{22FEC382-35E1-0EA5-464A-1F262533A1B5}" id="{BF8E68F1-A793-B9F9-3779-336193FD59DA}" done="0">
    <text xml:space="preserve">A helper column: AVERAGEIF by department. Handy to keep next to the data when you ask the AI about it.
</text>
  </threadedComment>
  <threadedComment ref="H8" dT="2026-08-18T09:10:29.33Z" personId="{22FEC382-35E1-0EA5-464A-1F262533A1B5}" id="{B3AB4121-FCE6-235F-FFE4-DB562AF57F83}" done="0">
    <text xml:space="preserve">A text rule, not a colour someone painted. It matches the word in the cell, so the flag styles itself.
</text>
  </threadedComment>
  <threadedComment ref="E9" dT="2026-08-18T09:09:08.65Z" personId="{22FEC382-35E1-0EA5-464A-1F262533A1B5}" id="{05BA59FB-7E04-0684-A53A-FFC7B4337C5F}" done="0">
    <text xml:space="preserve">Anything below 4.4 turns amber, 4.7 and up turns green. Change this to 4.8 and the colour follows.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Relationship 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2.140625"/>
    <col customWidth="1" min="2" max="2" width="20"/>
    <col customWidth="1" min="3" max="3" width="16"/>
    <col customWidth="1" min="4" max="4" width="12"/>
    <col customWidth="1" min="5" max="5" width="10"/>
    <col customWidth="1" min="6" max="7" width="16"/>
    <col customWidth="1" min="8" max="8" width="19"/>
    <col customWidth="1" min="9" max="9" width="15"/>
    <col customWidth="1" min="10" max="10" width="12.8515625"/>
  </cols>
  <sheetData>
    <row r="1" ht="11.25" customHeight="1"/>
    <row r="2" ht="26" customHeight="1">
      <c r="B2" s="1" t="s">
        <v>0</v>
      </c>
      <c r="C2" s="2"/>
      <c r="D2" s="2"/>
      <c r="E2" s="2"/>
      <c r="F2" s="2"/>
      <c r="G2" s="2"/>
      <c r="H2" s="2"/>
      <c r="I2" s="2"/>
    </row>
    <row r="3" ht="34" customHeight="1">
      <c r="B3" s="3" t="s">
        <v>1</v>
      </c>
      <c r="C3" s="4"/>
      <c r="D3" s="4"/>
      <c r="E3" s="4"/>
      <c r="F3" s="4"/>
      <c r="G3" s="4"/>
      <c r="H3" s="4"/>
      <c r="I3" s="4"/>
    </row>
    <row r="4" ht="14.4" customHeight="1">
      <c r="B4" s="5"/>
      <c r="C4" s="5"/>
      <c r="D4" s="5"/>
      <c r="E4" s="5"/>
      <c r="F4" s="5"/>
      <c r="G4" s="5"/>
      <c r="H4" s="5"/>
      <c r="I4" s="5"/>
    </row>
    <row r="5" ht="16.800000000000001" customHeight="1">
      <c r="B5" s="6" t="s">
        <v>2</v>
      </c>
      <c r="C5" s="7"/>
      <c r="D5" s="7"/>
      <c r="E5" s="7"/>
      <c r="F5" s="7"/>
      <c r="G5" s="7"/>
      <c r="H5" s="7"/>
      <c r="I5" s="7"/>
    </row>
    <row r="6" ht="14.4" customHeight="1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ht="14.4" customHeight="1">
      <c r="B7" s="9" t="s">
        <v>11</v>
      </c>
      <c r="C7" s="9" t="s">
        <v>12</v>
      </c>
      <c r="D7" s="10">
        <v>45000</v>
      </c>
      <c r="E7" s="11">
        <v>4.7999999999999998</v>
      </c>
      <c r="F7" s="12">
        <f t="shared" ref="F7:F9" si="0">RANK(D7,$D$7:$D$12)</f>
        <v>3</v>
      </c>
      <c r="G7" s="10">
        <f t="shared" ref="G7:G9" si="1">AVERAGEIF($C$7:$C$12,C7,$D$7:$D$12)</f>
        <v>41500</v>
      </c>
      <c r="H7" s="9" t="str">
        <f t="shared" ref="H7:H9" si="2">IF(AND(D7&gt;=60000,E7&gt;=4.5),"Top performer",IF(E7&gt;=4.7,"High rating","Review"))</f>
        <v xml:space="preserve">High rating</v>
      </c>
      <c r="I7" s="9" t="s">
        <v>13</v>
      </c>
    </row>
    <row r="8" ht="14.4" customHeight="1">
      <c r="B8" s="9" t="s">
        <v>14</v>
      </c>
      <c r="C8" s="9" t="s">
        <v>5</v>
      </c>
      <c r="D8" s="10">
        <v>62000</v>
      </c>
      <c r="E8" s="11">
        <v>4.5</v>
      </c>
      <c r="F8" s="12">
        <f t="shared" si="0"/>
        <v>2</v>
      </c>
      <c r="G8" s="10">
        <f t="shared" si="1"/>
        <v>66500</v>
      </c>
      <c r="H8" s="9" t="str">
        <f t="shared" si="2"/>
        <v xml:space="preserve">Top performer</v>
      </c>
      <c r="I8" s="9" t="s">
        <v>13</v>
      </c>
    </row>
    <row r="9" ht="14.4" customHeight="1">
      <c r="B9" s="9" t="s">
        <v>15</v>
      </c>
      <c r="C9" s="9" t="s">
        <v>12</v>
      </c>
      <c r="D9" s="10">
        <v>38000</v>
      </c>
      <c r="E9" s="11">
        <v>4.2000000000000002</v>
      </c>
      <c r="F9" s="12">
        <f t="shared" si="0"/>
        <v>4</v>
      </c>
      <c r="G9" s="10">
        <f t="shared" si="1"/>
        <v>41500</v>
      </c>
      <c r="H9" s="9" t="str">
        <f t="shared" si="2"/>
        <v>Review</v>
      </c>
      <c r="I9" s="9" t="s">
        <v>13</v>
      </c>
    </row>
    <row r="10" ht="14.4" customHeight="1">
      <c r="B10" s="9" t="s">
        <v>16</v>
      </c>
      <c r="C10" s="9" t="s">
        <v>17</v>
      </c>
      <c r="D10" s="10">
        <v>28000</v>
      </c>
      <c r="E10" s="11">
        <v>4.9000000000000004</v>
      </c>
      <c r="F10" s="12">
        <f t="shared" ref="F10:F12" si="3">RANK(D10,$D$7:$D$12)</f>
        <v>5</v>
      </c>
      <c r="G10" s="10">
        <f t="shared" ref="G10:G12" si="4">AVERAGEIF($C$7:$C$12,C10,$D$7:$D$12)</f>
        <v>26500</v>
      </c>
      <c r="H10" s="9" t="str">
        <f t="shared" ref="H10:H12" si="5">IF(AND(D10&gt;=60000,E10&gt;=4.5),"Top performer",IF(E10&gt;=4.7,"High rating","Review"))</f>
        <v xml:space="preserve">High rating</v>
      </c>
      <c r="I10" s="9" t="s">
        <v>13</v>
      </c>
    </row>
    <row r="11" ht="14.4" customHeight="1">
      <c r="B11" s="9" t="s">
        <v>18</v>
      </c>
      <c r="C11" s="9" t="s">
        <v>5</v>
      </c>
      <c r="D11" s="10">
        <v>71000</v>
      </c>
      <c r="E11" s="11">
        <v>4.5999999999999996</v>
      </c>
      <c r="F11" s="12">
        <f t="shared" si="3"/>
        <v>1</v>
      </c>
      <c r="G11" s="10">
        <f t="shared" si="4"/>
        <v>66500</v>
      </c>
      <c r="H11" s="9" t="str">
        <f t="shared" si="5"/>
        <v xml:space="preserve">Top performer</v>
      </c>
      <c r="I11" s="9" t="s">
        <v>13</v>
      </c>
    </row>
    <row r="12" ht="14.4" customHeight="1">
      <c r="B12" s="9" t="s">
        <v>19</v>
      </c>
      <c r="C12" s="9" t="s">
        <v>17</v>
      </c>
      <c r="D12" s="10">
        <v>25000</v>
      </c>
      <c r="E12" s="11">
        <v>4.7000000000000002</v>
      </c>
      <c r="F12" s="12">
        <f t="shared" si="3"/>
        <v>6</v>
      </c>
      <c r="G12" s="10">
        <f t="shared" si="4"/>
        <v>26500</v>
      </c>
      <c r="H12" s="9" t="str">
        <f t="shared" si="5"/>
        <v xml:space="preserve">High rating</v>
      </c>
      <c r="I12" s="9" t="s">
        <v>13</v>
      </c>
    </row>
    <row r="13" ht="14.4" customHeight="1"/>
    <row r="14" ht="16.800000000000001" customHeight="1">
      <c r="B14" s="13" t="s">
        <v>20</v>
      </c>
    </row>
    <row r="15" ht="14.4" customHeight="1"/>
    <row r="16" ht="18" customHeight="1">
      <c r="B16" s="14" t="s">
        <v>21</v>
      </c>
      <c r="C16" s="15" t="s">
        <v>22</v>
      </c>
      <c r="D16" s="16"/>
      <c r="E16" s="16"/>
      <c r="F16" s="16"/>
      <c r="G16" s="16"/>
      <c r="H16" s="16"/>
      <c r="I16" s="16"/>
    </row>
    <row r="17" ht="18" customHeight="1">
      <c r="B17" s="17" t="s">
        <v>23</v>
      </c>
      <c r="C17" s="15" t="s">
        <v>24</v>
      </c>
      <c r="D17" s="16"/>
      <c r="E17" s="16"/>
      <c r="F17" s="16"/>
      <c r="G17" s="16"/>
      <c r="H17" s="16"/>
      <c r="I17" s="16"/>
    </row>
    <row r="18" s="18" customFormat="1" ht="18" customHeight="1">
      <c r="B18" s="19" t="s">
        <v>25</v>
      </c>
      <c r="C18" s="15" t="s">
        <v>26</v>
      </c>
      <c r="D18" s="20"/>
      <c r="E18" s="20"/>
      <c r="F18" s="20"/>
      <c r="G18" s="20"/>
      <c r="H18" s="20"/>
      <c r="I18" s="20"/>
    </row>
    <row r="19" ht="18" customHeight="1">
      <c r="B19" s="21" t="s">
        <v>27</v>
      </c>
      <c r="C19" s="15" t="s">
        <v>28</v>
      </c>
      <c r="D19" s="16"/>
      <c r="E19" s="16"/>
      <c r="F19" s="16"/>
      <c r="G19" s="16"/>
      <c r="H19" s="16"/>
      <c r="I19" s="16"/>
    </row>
    <row r="20" ht="14.4" customHeight="1">
      <c r="B20" s="22" t="s">
        <v>29</v>
      </c>
      <c r="C20" s="23"/>
      <c r="D20" s="23"/>
      <c r="E20" s="23"/>
      <c r="F20" s="23"/>
      <c r="G20" s="23"/>
      <c r="H20" s="23"/>
      <c r="I20" s="23"/>
    </row>
    <row r="21" ht="14.4" customHeight="1"/>
    <row r="22" ht="16.800000000000001" customHeight="1">
      <c r="H22" s="24" t="s">
        <v>30</v>
      </c>
    </row>
    <row r="23" ht="21" customHeight="1">
      <c r="H23" s="25" t="s">
        <v>31</v>
      </c>
      <c r="I23" s="9"/>
      <c r="J23" s="9"/>
    </row>
    <row r="24" ht="21" customHeight="1">
      <c r="H24" s="25" t="s">
        <v>32</v>
      </c>
      <c r="I24" s="9"/>
      <c r="J24" s="9"/>
    </row>
    <row r="25" ht="21" customHeight="1">
      <c r="H25" s="25" t="s">
        <v>33</v>
      </c>
      <c r="I25" s="9"/>
      <c r="J25" s="9"/>
    </row>
    <row r="26" ht="21" customHeight="1">
      <c r="H26" s="25" t="s">
        <v>34</v>
      </c>
      <c r="I26" s="9"/>
      <c r="J26" s="9"/>
    </row>
    <row r="27" ht="21" customHeight="1">
      <c r="H27" s="25" t="s">
        <v>35</v>
      </c>
      <c r="I27" s="9"/>
      <c r="J27" s="9"/>
    </row>
    <row r="28" ht="14.4" customHeight="1"/>
    <row r="29" ht="16.800000000000001" customHeight="1">
      <c r="H29" s="24" t="s">
        <v>36</v>
      </c>
    </row>
    <row r="30" ht="14.4" customHeight="1">
      <c r="H30" s="26" t="s">
        <v>37</v>
      </c>
      <c r="I30" s="10">
        <f>MAX(D7:D12)</f>
        <v>71000</v>
      </c>
      <c r="J30" s="26"/>
    </row>
    <row r="31" ht="14.4" customHeight="1">
      <c r="H31" s="26" t="s">
        <v>38</v>
      </c>
      <c r="I31" s="27">
        <f>AVERAGE(E7:E12)</f>
        <v>4.6166666666666663</v>
      </c>
      <c r="J31" s="26"/>
    </row>
    <row r="32" ht="14.4" customHeight="1">
      <c r="H32" s="26" t="s">
        <v>39</v>
      </c>
      <c r="I32" s="26">
        <f>COUNTA(_xlfn.UNIQUE(C7:C12))</f>
        <v>3</v>
      </c>
      <c r="J32" s="26"/>
    </row>
    <row r="33" ht="14.4" customHeight="1">
      <c r="H33" s="26" t="s">
        <v>40</v>
      </c>
      <c r="I33" s="12" t="str">
        <f>INDEX(B7:B12,MATCH(MAX(D7:D12),D7:D12,0))</f>
        <v xml:space="preserve">David Wilson</v>
      </c>
      <c r="J33" s="12"/>
    </row>
    <row r="34" ht="14.4" customHeight="1"/>
    <row r="35" ht="16.800000000000001" customHeight="1">
      <c r="H35" s="13" t="s">
        <v>41</v>
      </c>
    </row>
    <row r="36" ht="14.4" customHeight="1">
      <c r="H36" s="28" t="s">
        <v>4</v>
      </c>
      <c r="I36" s="29" t="s">
        <v>5</v>
      </c>
      <c r="J36" s="29" t="s">
        <v>42</v>
      </c>
    </row>
    <row r="37" ht="14.4" customHeight="1">
      <c r="H37" s="9" t="s">
        <v>12</v>
      </c>
      <c r="I37" s="30">
        <f t="shared" ref="I37:I39" si="6">SUMIF($C$7:$C$12,H37,$D$7:$D$12)</f>
        <v>83000</v>
      </c>
      <c r="J37" s="31">
        <f t="shared" ref="J37:J39" si="7">I37/SUM($I$37:$I$39)</f>
        <v>0.30855018587360594</v>
      </c>
    </row>
    <row r="38" ht="14.4" customHeight="1">
      <c r="H38" s="9" t="s">
        <v>5</v>
      </c>
      <c r="I38" s="30">
        <f t="shared" si="6"/>
        <v>133000</v>
      </c>
      <c r="J38" s="31">
        <f t="shared" si="7"/>
        <v>0.49442379182156132</v>
      </c>
    </row>
    <row r="39" ht="14.4" customHeight="1">
      <c r="H39" s="9" t="s">
        <v>17</v>
      </c>
      <c r="I39" s="30">
        <f t="shared" si="6"/>
        <v>53000</v>
      </c>
      <c r="J39" s="31">
        <f t="shared" si="7"/>
        <v>0.19702602230483271</v>
      </c>
    </row>
    <row r="40" ht="23.399999999999999" customHeight="1">
      <c r="B40" s="32" t="s">
        <v>43</v>
      </c>
      <c r="C40" s="32"/>
      <c r="D40" s="32"/>
      <c r="E40" s="32"/>
      <c r="F40" s="32"/>
      <c r="G40" s="32"/>
      <c r="H40" s="32"/>
      <c r="I40" s="32"/>
    </row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>
      <c r="B52" s="5"/>
      <c r="C52" s="5"/>
      <c r="D52" s="5"/>
      <c r="E52" s="5"/>
      <c r="F52" s="5"/>
      <c r="G52" s="5"/>
      <c r="H52" s="5"/>
      <c r="I52" s="5"/>
    </row>
    <row r="53" ht="14.4" customHeight="1">
      <c r="B53" s="5"/>
      <c r="C53" s="5"/>
      <c r="D53" s="5"/>
      <c r="E53" s="5"/>
      <c r="F53" s="5"/>
      <c r="G53" s="5"/>
      <c r="H53" s="5"/>
      <c r="I53" s="5"/>
    </row>
    <row r="54" ht="14.4" customHeight="1">
      <c r="B54" s="5"/>
      <c r="C54" s="5"/>
      <c r="D54" s="5"/>
      <c r="E54" s="5"/>
      <c r="F54" s="5"/>
      <c r="G54" s="5"/>
      <c r="H54" s="5"/>
      <c r="I54" s="5"/>
    </row>
    <row r="55" ht="14.4" customHeight="1">
      <c r="B55" s="5"/>
      <c r="C55" s="5"/>
      <c r="D55" s="5"/>
      <c r="E55" s="5"/>
      <c r="F55" s="5"/>
      <c r="G55" s="5"/>
      <c r="H55" s="5"/>
      <c r="I55" s="5"/>
    </row>
    <row r="56" ht="18" customHeight="1">
      <c r="B56" s="33"/>
      <c r="C56" s="5"/>
      <c r="D56" s="5"/>
      <c r="E56" s="5"/>
      <c r="F56" s="5"/>
      <c r="G56" s="5"/>
      <c r="H56" s="5"/>
      <c r="I56" s="5"/>
    </row>
    <row r="57" ht="30.600000000000001" customHeight="1">
      <c r="B57" s="33" t="s">
        <v>44</v>
      </c>
      <c r="C57" s="33"/>
      <c r="D57" s="33"/>
      <c r="E57" s="33"/>
      <c r="F57" s="33"/>
      <c r="G57" s="33"/>
      <c r="H57" s="33"/>
      <c r="I57" s="33"/>
    </row>
    <row r="58" ht="8.25" customHeight="1">
      <c r="B58" s="34"/>
      <c r="C58" s="34"/>
      <c r="D58" s="34"/>
      <c r="E58" s="34"/>
      <c r="F58" s="34"/>
      <c r="G58" s="34"/>
      <c r="H58" s="34"/>
      <c r="I58" s="34"/>
    </row>
    <row r="59" ht="24" customHeight="1">
      <c r="B59" s="35"/>
      <c r="C59" s="36"/>
      <c r="D59" s="37"/>
      <c r="E59" s="37"/>
      <c r="F59" s="37"/>
      <c r="G59" s="37"/>
      <c r="H59" s="37"/>
      <c r="I59" s="37"/>
    </row>
    <row r="60" ht="14.4" customHeight="1">
      <c r="B60" s="38" t="s">
        <v>45</v>
      </c>
      <c r="C60" s="38"/>
      <c r="D60" s="38" t="s">
        <v>46</v>
      </c>
      <c r="E60" s="38"/>
      <c r="F60" s="38" t="s">
        <v>47</v>
      </c>
      <c r="G60" s="38"/>
      <c r="H60" s="38" t="s">
        <v>48</v>
      </c>
      <c r="I60" s="38"/>
    </row>
    <row r="61" ht="30" customHeight="1">
      <c r="B61" s="39" t="s">
        <v>49</v>
      </c>
      <c r="C61" s="39"/>
      <c r="D61" s="39" t="s">
        <v>50</v>
      </c>
      <c r="E61" s="39"/>
      <c r="F61" s="39" t="s">
        <v>51</v>
      </c>
      <c r="G61" s="39"/>
      <c r="H61" s="39" t="s">
        <v>52</v>
      </c>
      <c r="I61" s="39"/>
    </row>
    <row r="62" ht="6" customHeight="1">
      <c r="B62" s="40"/>
      <c r="C62" s="40"/>
      <c r="D62" s="40"/>
      <c r="E62" s="40"/>
      <c r="F62" s="40"/>
      <c r="G62" s="40"/>
      <c r="H62" s="40"/>
      <c r="I62" s="40"/>
    </row>
    <row r="63" ht="14.4" customHeight="1"/>
    <row r="64" ht="8.25" customHeight="1">
      <c r="B64" s="41"/>
      <c r="C64" s="41"/>
      <c r="D64" s="41"/>
      <c r="E64" s="41"/>
      <c r="F64" s="41"/>
      <c r="G64" s="41"/>
      <c r="H64" s="41"/>
      <c r="I64" s="41"/>
    </row>
    <row r="65" ht="14.4" customHeight="1">
      <c r="B65" s="42" t="s">
        <v>53</v>
      </c>
      <c r="C65" s="42"/>
      <c r="D65" s="42"/>
      <c r="E65" s="42"/>
      <c r="F65" s="42" t="s">
        <v>54</v>
      </c>
      <c r="G65" s="42"/>
      <c r="H65" s="42"/>
      <c r="I65" s="42"/>
    </row>
    <row r="66" ht="21" customHeight="1">
      <c r="B66" s="43" t="s">
        <v>55</v>
      </c>
      <c r="C66" s="43"/>
      <c r="D66" s="43"/>
      <c r="E66" s="43"/>
      <c r="F66" s="43" t="s">
        <v>56</v>
      </c>
      <c r="G66" s="43"/>
      <c r="H66" s="43"/>
      <c r="I66" s="43"/>
    </row>
    <row r="67" ht="6.75" customHeight="1">
      <c r="B67" s="41"/>
      <c r="C67" s="41"/>
      <c r="D67" s="41"/>
      <c r="E67" s="41"/>
      <c r="F67" s="41"/>
      <c r="G67" s="41"/>
      <c r="H67" s="41"/>
      <c r="I67" s="41"/>
    </row>
    <row r="68" ht="14.4" customHeight="1"/>
    <row r="69" ht="7.5" customHeight="1">
      <c r="B69" s="41"/>
      <c r="C69" s="41"/>
      <c r="D69" s="41"/>
      <c r="E69" s="41"/>
      <c r="F69" s="41"/>
      <c r="G69" s="41"/>
      <c r="H69" s="41"/>
      <c r="I69" s="41"/>
    </row>
    <row r="70" ht="14.4" customHeight="1">
      <c r="B70" s="42" t="s">
        <v>57</v>
      </c>
      <c r="C70" s="42"/>
      <c r="D70" s="42"/>
      <c r="E70" s="42"/>
      <c r="F70" s="44" t="s">
        <v>58</v>
      </c>
      <c r="G70" s="41"/>
      <c r="H70" s="41"/>
      <c r="I70" s="41"/>
    </row>
    <row r="71" ht="22.800000000000001" customHeight="1">
      <c r="B71" s="43" t="s">
        <v>59</v>
      </c>
      <c r="C71" s="43"/>
      <c r="D71" s="43"/>
      <c r="E71" s="43"/>
      <c r="F71" s="43" t="s">
        <v>60</v>
      </c>
      <c r="G71" s="43"/>
      <c r="H71" s="43"/>
      <c r="I71" s="43"/>
    </row>
    <row r="72" ht="6.75" customHeight="1">
      <c r="B72" s="41"/>
      <c r="C72" s="41"/>
      <c r="D72" s="41"/>
      <c r="E72" s="41"/>
      <c r="F72" s="41"/>
      <c r="G72" s="41"/>
      <c r="H72" s="41"/>
      <c r="I72" s="41"/>
    </row>
    <row r="74">
      <c r="B74" s="45" t="s">
        <v>61</v>
      </c>
      <c r="C74" s="46"/>
      <c r="D74" s="46"/>
      <c r="E74" s="46"/>
      <c r="F74" s="46"/>
      <c r="G74" s="46"/>
      <c r="H74" s="46"/>
      <c r="I74" s="46"/>
    </row>
  </sheetData>
  <mergeCells count="43">
    <mergeCell ref="B2:I2"/>
    <mergeCell ref="B3:I3"/>
    <mergeCell ref="B5:I5"/>
    <mergeCell ref="B14:I14"/>
    <mergeCell ref="C16:I16"/>
    <mergeCell ref="C17:I17"/>
    <mergeCell ref="C18:I18"/>
    <mergeCell ref="C19:I19"/>
    <mergeCell ref="B20:I20"/>
    <mergeCell ref="H22:J22"/>
    <mergeCell ref="H23:J23"/>
    <mergeCell ref="H24:J24"/>
    <mergeCell ref="H25:J25"/>
    <mergeCell ref="H26:J26"/>
    <mergeCell ref="H27:J27"/>
    <mergeCell ref="H29:J29"/>
    <mergeCell ref="I30:J30"/>
    <mergeCell ref="I31:J31"/>
    <mergeCell ref="I32:J32"/>
    <mergeCell ref="I33:J33"/>
    <mergeCell ref="H35:J35"/>
    <mergeCell ref="B40:I40"/>
    <mergeCell ref="B56:I56"/>
    <mergeCell ref="B57:I57"/>
    <mergeCell ref="D59:E59"/>
    <mergeCell ref="F59:G59"/>
    <mergeCell ref="H59:I59"/>
    <mergeCell ref="B60:C60"/>
    <mergeCell ref="D60:E60"/>
    <mergeCell ref="F60:G60"/>
    <mergeCell ref="H60:I60"/>
    <mergeCell ref="B61:C61"/>
    <mergeCell ref="D61:E61"/>
    <mergeCell ref="F61:G61"/>
    <mergeCell ref="H61:I61"/>
    <mergeCell ref="B65:E65"/>
    <mergeCell ref="F65:I65"/>
    <mergeCell ref="B66:E66"/>
    <mergeCell ref="F66:I66"/>
    <mergeCell ref="B70:E70"/>
    <mergeCell ref="B71:E71"/>
    <mergeCell ref="F71:I71"/>
    <mergeCell ref="B74:I74"/>
  </mergeCells>
  <printOptions headings="0" gridLines="0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3"/>
  <legacy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38DB12A4-6588-431D-9788-DF5BB48D810A}">
            <x14:dataBar maxLength="90" minLength="10" axisPosition="none" direction="context" negativeBarColorSameAsPositive="1">
              <x14:cfvo type="num">
                <xm:f>0</xm:f>
              </x14:cfvo>
              <x14:cfvo type="num">
                <xm:f>80000</xm:f>
              </x14:cfvo>
              <x14:fillColor theme="5" tint="0"/>
              <x14:negativeFillColor theme="5" tint="0"/>
            </x14:dataBar>
          </x14:cfRule>
          <xm:sqref>D7:D12</xm:sqref>
        </x14:conditionalFormatting>
        <x14:conditionalFormatting xmlns:xm="http://schemas.microsoft.com/office/excel/2006/main">
          <x14:cfRule type="cellIs" priority="2" operator="greaterThanOrEqual" id="{24F33864-0095-4677-852C-2338E04B0C85}">
            <xm:f>4.7</xm:f>
            <x14:dxf>
              <font>
                <b/>
                <color theme="9" tint="-0.499984740745262"/>
              </font>
              <fill>
                <patternFill patternType="solid">
                  <fgColor rgb="FFE2EFD9"/>
                  <bgColor rgb="FFE2EFD9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cellIs" priority="3" operator="lessThan" id="{1C8E6125-7CD7-4C1E-8885-51D0A99D2362}">
            <xm:f>4.4</xm:f>
            <x14:dxf>
              <font>
                <color theme="7" tint="-0.499984740745262"/>
              </font>
              <fill>
                <patternFill patternType="solid">
                  <fgColor rgb="FFFFF2CB"/>
                  <bgColor rgb="FFFFF2CB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cellIs" priority="4" operator="lessThanOrEqual" id="{80AF9F7E-27E9-4AB9-85E3-23EAA47DCF24}">
            <xm:f>3</xm:f>
            <x14:dxf>
              <font>
                <b/>
                <color theme="4" tint="-0.249977111117893"/>
              </font>
              <fill>
                <patternFill patternType="solid">
                  <fgColor rgb="FFD9E2F3"/>
                  <bgColor rgb="FFD9E2F3"/>
                </patternFill>
              </fill>
            </x14:dxf>
          </x14:cfRule>
          <xm:sqref>F7:F12</xm:sqref>
        </x14:conditionalFormatting>
        <x14:conditionalFormatting xmlns:xm="http://schemas.microsoft.com/office/excel/2006/main">
          <x14:cfRule type="containsText" priority="5" operator="containsText" text="Top performer" id="{000301D4-257F-433B-AB57-275443539240}">
            <xm:f>NOT(ISERROR(SEARCH("Top performer",H7)))</xm:f>
            <x14:dxf>
              <font>
                <b/>
                <color theme="7" tint="-0.249977111117893"/>
              </font>
              <fill>
                <patternFill patternType="solid">
                  <fgColor rgb="FFFFF2CB"/>
                  <bgColor rgb="FFFFF2CB"/>
                </patternFill>
              </fill>
            </x14:dxf>
          </x14:cfRule>
          <xm:sqref>H7:H12</xm:sqref>
        </x14:conditionalFormatting>
        <x14:conditionalFormatting xmlns:xm="http://schemas.microsoft.com/office/excel/2006/main">
          <x14:cfRule type="containsText" priority="6" operator="containsText" text="High rating" id="{6802C961-426C-454D-8B42-A6A8CB8D07BF}">
            <xm:f>NOT(ISERROR(SEARCH("High rating",H7)))</xm:f>
            <x14:dxf>
              <font>
                <color theme="9" tint="-0.499984740745262"/>
              </font>
              <fill>
                <patternFill patternType="solid">
                  <fgColor rgb="FFE2EFD9"/>
                  <bgColor rgb="FFE2EFD9"/>
                </patternFill>
              </fill>
            </x14:dxf>
          </x14:cfRule>
          <xm:sqref>H7:H12</xm:sqref>
        </x14:conditionalFormatting>
        <x14:conditionalFormatting xmlns:xm="http://schemas.microsoft.com/office/excel/2006/main">
          <x14:cfRule type="containsText" priority="7" operator="containsText" text="Review" id="{7FE02457-C923-499F-A3E3-929A029A1962}">
            <xm:f>NOT(ISERROR(SEARCH("Review",H7)))</xm:f>
            <x14:dxf>
              <font>
                <color theme="5" tint="-0.499984740745262"/>
              </font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H7:H12</xm:sqref>
        </x14:conditionalFormatting>
        <x14:conditionalFormatting xmlns:xm="http://schemas.microsoft.com/office/excel/2006/main">
          <x14:cfRule type="cellIs" priority="8" operator="greaterThanOrEqual" id="{5A0A8ED4-0791-4A82-AC66-42BF785EF937}">
            <xm:f>4.7</xm:f>
            <x14:dxf>
              <font>
                <b/>
                <color theme="9" tint="-0.499984740745262"/>
              </font>
              <fill>
                <patternFill patternType="solid">
                  <fgColor rgb="FFE2EFD9"/>
                  <bgColor rgb="FFE2EFD9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cellIs" priority="9" operator="lessThan" id="{37D7A415-4689-4901-88AE-895CFC0A52BD}">
            <xm:f>4.4</xm:f>
            <x14:dxf>
              <font>
                <color theme="7" tint="-0.499984740745262"/>
              </font>
              <fill>
                <patternFill patternType="solid">
                  <fgColor rgb="FFFFF2CB"/>
                  <bgColor rgb="FFFFF2CB"/>
                </patternFill>
              </fill>
            </x14:dxf>
          </x14:cfRule>
          <xm:sqref>E7:E12</xm:sqref>
        </x14:conditionalFormatting>
        <x14:conditionalFormatting xmlns:xm="http://schemas.microsoft.com/office/excel/2006/main">
          <x14:cfRule type="cellIs" priority="10" operator="lessThanOrEqual" id="{761A9143-9559-4405-B502-066E4D145792}">
            <xm:f>3</xm:f>
            <x14:dxf>
              <font>
                <b/>
                <color theme="4" tint="-0.249977111117893"/>
              </font>
              <fill>
                <patternFill patternType="solid">
                  <fgColor rgb="FFD9E2F3"/>
                  <bgColor rgb="FFD9E2F3"/>
                </patternFill>
              </fill>
            </x14:dxf>
          </x14:cfRule>
          <xm:sqref>F7:F12</xm:sqref>
        </x14:conditionalFormatting>
        <x14:conditionalFormatting xmlns:xm="http://schemas.microsoft.com/office/excel/2006/main">
          <x14:cfRule type="containsText" priority="11" operator="containsText" text="Top performer" id="{B281A639-84F4-4C4B-9A3F-9B25C62C6254}">
            <xm:f>NOT(ISERROR(SEARCH("Top performer",H7)))</xm:f>
            <x14:dxf>
              <font>
                <b/>
                <color theme="7" tint="-0.249977111117893"/>
              </font>
              <fill>
                <patternFill patternType="solid">
                  <fgColor rgb="FFFFF2CB"/>
                  <bgColor rgb="FFFFF2CB"/>
                </patternFill>
              </fill>
            </x14:dxf>
          </x14:cfRule>
          <xm:sqref>H7:H12</xm:sqref>
        </x14:conditionalFormatting>
        <x14:conditionalFormatting xmlns:xm="http://schemas.microsoft.com/office/excel/2006/main">
          <x14:cfRule type="containsText" priority="12" operator="containsText" text="High rating" id="{43D2012A-A020-47AD-B91E-7E4FD872186B}">
            <xm:f>NOT(ISERROR(SEARCH("High rating",H7)))</xm:f>
            <x14:dxf>
              <font>
                <color theme="9" tint="-0.499984740745262"/>
              </font>
              <fill>
                <patternFill patternType="solid">
                  <fgColor rgb="FFE2EFD9"/>
                  <bgColor rgb="FFE2EFD9"/>
                </patternFill>
              </fill>
            </x14:dxf>
          </x14:cfRule>
          <xm:sqref>H7:H12</xm:sqref>
        </x14:conditionalFormatting>
        <x14:conditionalFormatting xmlns:xm="http://schemas.microsoft.com/office/excel/2006/main">
          <x14:cfRule type="containsText" priority="13" operator="containsText" text="Review" id="{3EF6C039-E742-46D1-AC8C-2CEBCB65317E}">
            <xm:f>NOT(ISERROR(SEARCH("Review",H7)))</xm:f>
            <x14:dxf>
              <font>
                <color theme="5" tint="-0.499984740745262"/>
              </font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H7:H12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2026-04-19T14:24:04Z</dcterms:created>
</cp:coreProperties>
</file>